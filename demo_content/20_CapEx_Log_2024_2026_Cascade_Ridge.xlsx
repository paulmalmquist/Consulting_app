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Ex Log 2024-2026" sheetId="1" state="visible" r:id="rId3"/>
    <sheet name="Summary by Pha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<sst xmlns="http://schemas.openxmlformats.org/spreadsheetml/2006/main" count="168" uniqueCount="121">
  <si>
    <t xml:space="preserve">CAPITAL PLAN &amp; CAPEX LOG — 2024–2026</t>
  </si>
  <si>
    <t xml:space="preserve">Cascade Ridge Apartments | Total Budget: $4,200,000 | Reserve Account: First Commerce Bank XXXX-8824 | Status as of September 30, 2024</t>
  </si>
  <si>
    <t xml:space="preserve">Project ID</t>
  </si>
  <si>
    <t xml:space="preserve">Category</t>
  </si>
  <si>
    <t xml:space="preserve">Description</t>
  </si>
  <si>
    <t xml:space="preserve">Phase</t>
  </si>
  <si>
    <t xml:space="preserve">Budget ($)</t>
  </si>
  <si>
    <t xml:space="preserve">Draw #1 ($)</t>
  </si>
  <si>
    <t xml:space="preserve">Draw #2 ($)</t>
  </si>
  <si>
    <t xml:space="preserve">Draw #3 ($)</t>
  </si>
  <si>
    <t xml:space="preserve">Total Drawn ($)</t>
  </si>
  <si>
    <t xml:space="preserve">Remaining ($)</t>
  </si>
  <si>
    <t xml:space="preserve">Start Date</t>
  </si>
  <si>
    <t xml:space="preserve">Completion Date</t>
  </si>
  <si>
    <t xml:space="preserve">Contractor</t>
  </si>
  <si>
    <t xml:space="preserve">Status</t>
  </si>
  <si>
    <t xml:space="preserve">CR-2024-001</t>
  </si>
  <si>
    <t xml:space="preserve">Unit Interior Renovation</t>
  </si>
  <si>
    <t xml:space="preserve">Phase 1 — Batch 1: Units 101-148 (24 units @ $24,500)</t>
  </si>
  <si>
    <t xml:space="preserve">Phase 1</t>
  </si>
  <si>
    <t xml:space="preserve">2024-04-01</t>
  </si>
  <si>
    <t xml:space="preserve">2024-06-30</t>
  </si>
  <si>
    <t xml:space="preserve">Alpine Construction Partners LLC</t>
  </si>
  <si>
    <t xml:space="preserve">Complete</t>
  </si>
  <si>
    <t xml:space="preserve">CR-2024-002</t>
  </si>
  <si>
    <t xml:space="preserve">Phase 1 — Batch 2: Units 201-228 (9 units @ $24,800)</t>
  </si>
  <si>
    <t xml:space="preserve">2024-07-01</t>
  </si>
  <si>
    <t xml:space="preserve">2024-08-15</t>
  </si>
  <si>
    <t xml:space="preserve">CR-2024-003</t>
  </si>
  <si>
    <t xml:space="preserve">Phase 1 — Batch 3: Units 301-316 (8 units @ $25,050)</t>
  </si>
  <si>
    <t xml:space="preserve">2024-08-01</t>
  </si>
  <si>
    <t xml:space="preserve">2024-09-15</t>
  </si>
  <si>
    <t xml:space="preserve">CR-2024-004</t>
  </si>
  <si>
    <t xml:space="preserve">Phase 1 — Batch 4: Units 401-448 (7 units @ $25,000)</t>
  </si>
  <si>
    <t xml:space="preserve">2024-10-01</t>
  </si>
  <si>
    <t xml:space="preserve">2024-11-30</t>
  </si>
  <si>
    <t xml:space="preserve">In Progress</t>
  </si>
  <si>
    <t xml:space="preserve">CR-2024-005</t>
  </si>
  <si>
    <t xml:space="preserve">Phase 1 — Batch 5 (Final 8 units @ $25,000)</t>
  </si>
  <si>
    <t xml:space="preserve">2024-11-15</t>
  </si>
  <si>
    <t xml:space="preserve">2024-12-15</t>
  </si>
  <si>
    <t xml:space="preserve">Scheduled</t>
  </si>
  <si>
    <t xml:space="preserve">CR-2024-006</t>
  </si>
  <si>
    <t xml:space="preserve">LED Lighting Retrofit</t>
  </si>
  <si>
    <t xml:space="preserve">Common area LED retrofit (all buildings, parking, corridors)</t>
  </si>
  <si>
    <t xml:space="preserve">2024-02-01</t>
  </si>
  <si>
    <t xml:space="preserve">2024-03-15</t>
  </si>
  <si>
    <t xml:space="preserve">Sparks Electric LLC</t>
  </si>
  <si>
    <t xml:space="preserve">CR-2024-007</t>
  </si>
  <si>
    <t xml:space="preserve">Exterior / Curb Appeal</t>
  </si>
  <si>
    <t xml:space="preserve">Monument signage, entry redesign, landscaping</t>
  </si>
  <si>
    <t xml:space="preserve">2024-09-01</t>
  </si>
  <si>
    <t xml:space="preserve">SignWorks Co. / GreenThumb Landscape</t>
  </si>
  <si>
    <t xml:space="preserve">CR-2024-008</t>
  </si>
  <si>
    <t xml:space="preserve">Exterior Paint</t>
  </si>
  <si>
    <t xml:space="preserve">Building exteriors: Buildings 1-5 (two coats)</t>
  </si>
  <si>
    <t xml:space="preserve">2024-10-15</t>
  </si>
  <si>
    <t xml:space="preserve">2024-12-01</t>
  </si>
  <si>
    <t xml:space="preserve">CR-2024-009</t>
  </si>
  <si>
    <t xml:space="preserve">Parking Lot Maintenance</t>
  </si>
  <si>
    <t xml:space="preserve">Seal coat and re-stripe all 312 parking spaces</t>
  </si>
  <si>
    <t xml:space="preserve">2024-11-01</t>
  </si>
  <si>
    <t xml:space="preserve">Asphalt Plus LLC</t>
  </si>
  <si>
    <t xml:space="preserve">CR-2025-001</t>
  </si>
  <si>
    <t xml:space="preserve">Clubhouse Renovation</t>
  </si>
  <si>
    <t xml:space="preserve">New finishes, co-working lounge, package room buildout</t>
  </si>
  <si>
    <t xml:space="preserve">Phase 2</t>
  </si>
  <si>
    <t xml:space="preserve">2025-03-01</t>
  </si>
  <si>
    <t xml:space="preserve">2025-05-31</t>
  </si>
  <si>
    <t xml:space="preserve">Summit Interior Group</t>
  </si>
  <si>
    <t xml:space="preserve">Planned</t>
  </si>
  <si>
    <t xml:space="preserve">CR-2025-002</t>
  </si>
  <si>
    <t xml:space="preserve">Fitness Center Upgrade</t>
  </si>
  <si>
    <t xml:space="preserve">New equipment package, flooring, mirrors, AV system</t>
  </si>
  <si>
    <t xml:space="preserve">2025-04-01</t>
  </si>
  <si>
    <t xml:space="preserve">2025-05-15</t>
  </si>
  <si>
    <t xml:space="preserve">FitBuild Inc.</t>
  </si>
  <si>
    <t xml:space="preserve">CR-2025-003</t>
  </si>
  <si>
    <t xml:space="preserve">Pool Deck / Outdoor Amenities</t>
  </si>
  <si>
    <t xml:space="preserve">Pool resurfacing, new furniture, updated grills, landscaping</t>
  </si>
  <si>
    <t xml:space="preserve">2025-05-01</t>
  </si>
  <si>
    <t xml:space="preserve">2025-06-30</t>
  </si>
  <si>
    <t xml:space="preserve">AquaWorks CO / GreenThumb</t>
  </si>
  <si>
    <t xml:space="preserve">CR-2025-004</t>
  </si>
  <si>
    <t xml:space="preserve">Phase 2 — 32 units (concurrent with amenities)</t>
  </si>
  <si>
    <t xml:space="preserve">2025-01-15</t>
  </si>
  <si>
    <t xml:space="preserve">2025-09-30</t>
  </si>
  <si>
    <t xml:space="preserve">CR-2026-001</t>
  </si>
  <si>
    <t xml:space="preserve">Phase 3 — Final 40 units @ $25,000</t>
  </si>
  <si>
    <t xml:space="preserve">Phase 3</t>
  </si>
  <si>
    <t xml:space="preserve">2026-01-15</t>
  </si>
  <si>
    <t xml:space="preserve">2026-06-30</t>
  </si>
  <si>
    <t xml:space="preserve">TBD</t>
  </si>
  <si>
    <t xml:space="preserve">CR-2026-002</t>
  </si>
  <si>
    <t xml:space="preserve">Ongoing Mechanical / Preventive</t>
  </si>
  <si>
    <t xml:space="preserve">HVAC, plumbing, roof repairs, electrical (3-yr total)</t>
  </si>
  <si>
    <t xml:space="preserve">All Phases</t>
  </si>
  <si>
    <t xml:space="preserve">2026-12-31</t>
  </si>
  <si>
    <t xml:space="preserve">Various</t>
  </si>
  <si>
    <t xml:space="preserve">Ongoing</t>
  </si>
  <si>
    <t xml:space="preserve">CR-ALL-001</t>
  </si>
  <si>
    <t xml:space="preserve">Soft Costs / Project Mgmt</t>
  </si>
  <si>
    <t xml:space="preserve">Legal, permits, project management, contingency</t>
  </si>
  <si>
    <t xml:space="preserve">Caldwell &amp; Pierce / Alpine</t>
  </si>
  <si>
    <t xml:space="preserve">TOTALS</t>
  </si>
  <si>
    <t xml:space="preserve">CAPITAL PLAN SUMMARY BY PHASE</t>
  </si>
  <si>
    <t xml:space="preserve">Total Budget</t>
  </si>
  <si>
    <t xml:space="preserve">Drawn to Date</t>
  </si>
  <si>
    <t xml:space="preserve">% Complete</t>
  </si>
  <si>
    <t xml:space="preserve">Remaining Budget</t>
  </si>
  <si>
    <t xml:space="preserve">Target Completion</t>
  </si>
  <si>
    <t xml:space="preserve">48 unit renovations + exterior + curb appeal</t>
  </si>
  <si>
    <t xml:space="preserve">December 2024</t>
  </si>
  <si>
    <t xml:space="preserve">32 unit renovations + all amenity upgrades</t>
  </si>
  <si>
    <t xml:space="preserve">September 2025</t>
  </si>
  <si>
    <t xml:space="preserve">40 unit renovations</t>
  </si>
  <si>
    <t xml:space="preserve">June 2026</t>
  </si>
  <si>
    <t xml:space="preserve">Mechanical, contingency, soft costs, project mgmt</t>
  </si>
  <si>
    <t xml:space="preserve">December 2026</t>
  </si>
  <si>
    <t xml:space="preserve">TOTAL</t>
  </si>
  <si>
    <t xml:space="preserve">Complete Capital Plan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</si>
</sst>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_);[RED]&quot;($&quot;#,##0\)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sz val="9"/>
      <color rgb="FF2E509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6F4EA"/>
        <bgColor rgb="FFF5F5F5"/>
      </patternFill>
    </fill>
    <fill>
      <patternFill patternType="solid">
        <fgColor rgb="FFFFFDE7"/>
        <bgColor rgb="FFFFFFFF"/>
      </patternFill>
    </fill>
    <fill>
      <patternFill patternType="solid">
        <fgColor rgb="FFF5F5F5"/>
        <bgColor rgb="FFE6F4EA"/>
      </patternFill>
    </fill>
    <fill>
      <patternFill patternType="solid">
        <fgColor rgb="FFFFFFFF"/>
        <bgColor rgb="FFFFFDE7"/>
      </patternFill>
    </fill>
    <fill>
      <patternFill patternType="solid">
        <fgColor rgb="FFBDD7EE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DE7"/>
      <rgbColor rgb="FFE6F4E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45"/>
    <col collapsed="false" customWidth="true" hidden="false" outlineLevel="0" max="4" min="4" style="0" width="10"/>
    <col collapsed="false" customWidth="true" hidden="false" outlineLevel="0" max="8" min="5" style="0" width="13"/>
    <col collapsed="false" customWidth="true" hidden="false" outlineLevel="0" max="10" min="9" style="0" width="14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30"/>
    <col collapsed="false" customWidth="true" hidden="false" outlineLevel="0" max="14" min="14" style="0" width="14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4" t="s">
        <v>17</v>
      </c>
      <c r="C5" s="4" t="s">
        <v>18</v>
      </c>
      <c r="D5" s="4" t="s">
        <v>19</v>
      </c>
      <c r="E5" s="5" t="n">
        <v>588000</v>
      </c>
      <c r="F5" s="5" t="n">
        <v>300000</v>
      </c>
      <c r="G5" s="5" t="n">
        <v>288000</v>
      </c>
      <c r="H5" s="5"/>
      <c r="I5" s="5" t="n">
        <v>588000</v>
      </c>
      <c r="J5" s="5" t="n">
        <v>0</v>
      </c>
      <c r="K5" s="4" t="s">
        <v>20</v>
      </c>
      <c r="L5" s="4" t="s">
        <v>21</v>
      </c>
      <c r="M5" s="4" t="s">
        <v>22</v>
      </c>
      <c r="N5" s="4" t="s">
        <v>23</v>
      </c>
    </row>
    <row r="6" customFormat="false" ht="15" hidden="false" customHeight="false" outlineLevel="0" collapsed="false">
      <c r="A6" s="4" t="s">
        <v>24</v>
      </c>
      <c r="B6" s="4" t="s">
        <v>17</v>
      </c>
      <c r="C6" s="4" t="s">
        <v>25</v>
      </c>
      <c r="D6" s="4" t="s">
        <v>19</v>
      </c>
      <c r="E6" s="5" t="n">
        <v>223200</v>
      </c>
      <c r="F6" s="5" t="n">
        <v>223200</v>
      </c>
      <c r="G6" s="5"/>
      <c r="H6" s="5"/>
      <c r="I6" s="5" t="n">
        <v>223200</v>
      </c>
      <c r="J6" s="5" t="n">
        <v>0</v>
      </c>
      <c r="K6" s="4" t="s">
        <v>26</v>
      </c>
      <c r="L6" s="4" t="s">
        <v>27</v>
      </c>
      <c r="M6" s="4" t="s">
        <v>22</v>
      </c>
      <c r="N6" s="4" t="s">
        <v>23</v>
      </c>
    </row>
    <row r="7" customFormat="false" ht="15" hidden="false" customHeight="false" outlineLevel="0" collapsed="false">
      <c r="A7" s="4" t="s">
        <v>28</v>
      </c>
      <c r="B7" s="4" t="s">
        <v>17</v>
      </c>
      <c r="C7" s="4" t="s">
        <v>29</v>
      </c>
      <c r="D7" s="4" t="s">
        <v>19</v>
      </c>
      <c r="E7" s="5" t="n">
        <v>200400</v>
      </c>
      <c r="F7" s="5" t="n">
        <v>200400</v>
      </c>
      <c r="G7" s="5"/>
      <c r="H7" s="5"/>
      <c r="I7" s="5" t="n">
        <v>200400</v>
      </c>
      <c r="J7" s="5" t="n">
        <v>0</v>
      </c>
      <c r="K7" s="4" t="s">
        <v>30</v>
      </c>
      <c r="L7" s="4" t="s">
        <v>31</v>
      </c>
      <c r="M7" s="4" t="s">
        <v>22</v>
      </c>
      <c r="N7" s="4" t="s">
        <v>23</v>
      </c>
    </row>
    <row r="8" customFormat="false" ht="15" hidden="false" customHeight="false" outlineLevel="0" collapsed="false">
      <c r="A8" s="6" t="s">
        <v>32</v>
      </c>
      <c r="B8" s="6" t="s">
        <v>17</v>
      </c>
      <c r="C8" s="6" t="s">
        <v>33</v>
      </c>
      <c r="D8" s="6" t="s">
        <v>19</v>
      </c>
      <c r="E8" s="7" t="n">
        <v>175000</v>
      </c>
      <c r="F8" s="7"/>
      <c r="G8" s="7"/>
      <c r="H8" s="7"/>
      <c r="I8" s="7" t="n">
        <v>0</v>
      </c>
      <c r="J8" s="7" t="n">
        <v>175000</v>
      </c>
      <c r="K8" s="6" t="s">
        <v>34</v>
      </c>
      <c r="L8" s="6" t="s">
        <v>35</v>
      </c>
      <c r="M8" s="6" t="s">
        <v>22</v>
      </c>
      <c r="N8" s="6" t="s">
        <v>36</v>
      </c>
    </row>
    <row r="9" customFormat="false" ht="15" hidden="false" customHeight="false" outlineLevel="0" collapsed="false">
      <c r="A9" s="8" t="s">
        <v>37</v>
      </c>
      <c r="B9" s="8" t="s">
        <v>17</v>
      </c>
      <c r="C9" s="8" t="s">
        <v>38</v>
      </c>
      <c r="D9" s="8" t="s">
        <v>19</v>
      </c>
      <c r="E9" s="9" t="n">
        <v>200000</v>
      </c>
      <c r="F9" s="9"/>
      <c r="G9" s="9"/>
      <c r="H9" s="9"/>
      <c r="I9" s="9" t="n">
        <v>0</v>
      </c>
      <c r="J9" s="9" t="n">
        <v>200000</v>
      </c>
      <c r="K9" s="8" t="s">
        <v>39</v>
      </c>
      <c r="L9" s="8" t="s">
        <v>40</v>
      </c>
      <c r="M9" s="8" t="s">
        <v>22</v>
      </c>
      <c r="N9" s="8" t="s">
        <v>41</v>
      </c>
    </row>
    <row r="10" customFormat="false" ht="15" hidden="false" customHeight="false" outlineLevel="0" collapsed="false">
      <c r="A10" s="4" t="s">
        <v>42</v>
      </c>
      <c r="B10" s="4" t="s">
        <v>43</v>
      </c>
      <c r="C10" s="4" t="s">
        <v>44</v>
      </c>
      <c r="D10" s="4" t="s">
        <v>19</v>
      </c>
      <c r="E10" s="5" t="n">
        <v>8400</v>
      </c>
      <c r="F10" s="5" t="n">
        <v>8400</v>
      </c>
      <c r="G10" s="5"/>
      <c r="H10" s="5"/>
      <c r="I10" s="5" t="n">
        <v>8400</v>
      </c>
      <c r="J10" s="5" t="n">
        <v>0</v>
      </c>
      <c r="K10" s="4" t="s">
        <v>45</v>
      </c>
      <c r="L10" s="4" t="s">
        <v>46</v>
      </c>
      <c r="M10" s="4" t="s">
        <v>47</v>
      </c>
      <c r="N10" s="4" t="s">
        <v>23</v>
      </c>
    </row>
    <row r="11" customFormat="false" ht="15" hidden="false" customHeight="false" outlineLevel="0" collapsed="false">
      <c r="A11" s="6" t="s">
        <v>48</v>
      </c>
      <c r="B11" s="6" t="s">
        <v>49</v>
      </c>
      <c r="C11" s="6" t="s">
        <v>50</v>
      </c>
      <c r="D11" s="6" t="s">
        <v>19</v>
      </c>
      <c r="E11" s="7" t="n">
        <v>85000</v>
      </c>
      <c r="F11" s="7" t="n">
        <v>42500</v>
      </c>
      <c r="G11" s="7"/>
      <c r="H11" s="7"/>
      <c r="I11" s="7" t="n">
        <v>42500</v>
      </c>
      <c r="J11" s="7" t="n">
        <v>42500</v>
      </c>
      <c r="K11" s="6" t="s">
        <v>51</v>
      </c>
      <c r="L11" s="6" t="s">
        <v>35</v>
      </c>
      <c r="M11" s="6" t="s">
        <v>52</v>
      </c>
      <c r="N11" s="6" t="s">
        <v>36</v>
      </c>
    </row>
    <row r="12" customFormat="false" ht="15" hidden="false" customHeight="false" outlineLevel="0" collapsed="false">
      <c r="A12" s="8" t="s">
        <v>53</v>
      </c>
      <c r="B12" s="8" t="s">
        <v>54</v>
      </c>
      <c r="C12" s="8" t="s">
        <v>55</v>
      </c>
      <c r="D12" s="8" t="s">
        <v>19</v>
      </c>
      <c r="E12" s="9" t="n">
        <v>62000</v>
      </c>
      <c r="F12" s="9"/>
      <c r="G12" s="9"/>
      <c r="H12" s="9"/>
      <c r="I12" s="9" t="n">
        <v>0</v>
      </c>
      <c r="J12" s="9" t="n">
        <v>62000</v>
      </c>
      <c r="K12" s="8" t="s">
        <v>56</v>
      </c>
      <c r="L12" s="8" t="s">
        <v>57</v>
      </c>
      <c r="M12" s="8" t="s">
        <v>22</v>
      </c>
      <c r="N12" s="8" t="s">
        <v>41</v>
      </c>
    </row>
    <row r="13" customFormat="false" ht="15" hidden="false" customHeight="false" outlineLevel="0" collapsed="false">
      <c r="A13" s="8" t="s">
        <v>58</v>
      </c>
      <c r="B13" s="8" t="s">
        <v>59</v>
      </c>
      <c r="C13" s="8" t="s">
        <v>60</v>
      </c>
      <c r="D13" s="8" t="s">
        <v>19</v>
      </c>
      <c r="E13" s="9" t="n">
        <v>22000</v>
      </c>
      <c r="F13" s="9"/>
      <c r="G13" s="9"/>
      <c r="H13" s="9"/>
      <c r="I13" s="9" t="n">
        <v>0</v>
      </c>
      <c r="J13" s="9" t="n">
        <v>22000</v>
      </c>
      <c r="K13" s="8" t="s">
        <v>61</v>
      </c>
      <c r="L13" s="8" t="s">
        <v>35</v>
      </c>
      <c r="M13" s="8" t="s">
        <v>62</v>
      </c>
      <c r="N13" s="8" t="s">
        <v>41</v>
      </c>
    </row>
    <row r="14" customFormat="false" ht="15" hidden="false" customHeight="false" outlineLevel="0" collapsed="false">
      <c r="A14" s="8" t="s">
        <v>63</v>
      </c>
      <c r="B14" s="8" t="s">
        <v>64</v>
      </c>
      <c r="C14" s="8" t="s">
        <v>65</v>
      </c>
      <c r="D14" s="8" t="s">
        <v>66</v>
      </c>
      <c r="E14" s="9" t="n">
        <v>185000</v>
      </c>
      <c r="F14" s="9"/>
      <c r="G14" s="9"/>
      <c r="H14" s="9"/>
      <c r="I14" s="9" t="n">
        <v>0</v>
      </c>
      <c r="J14" s="9" t="n">
        <v>185000</v>
      </c>
      <c r="K14" s="8" t="s">
        <v>67</v>
      </c>
      <c r="L14" s="8" t="s">
        <v>68</v>
      </c>
      <c r="M14" s="8" t="s">
        <v>69</v>
      </c>
      <c r="N14" s="8" t="s">
        <v>70</v>
      </c>
    </row>
    <row r="15" customFormat="false" ht="15" hidden="false" customHeight="false" outlineLevel="0" collapsed="false">
      <c r="A15" s="8" t="s">
        <v>71</v>
      </c>
      <c r="B15" s="8" t="s">
        <v>72</v>
      </c>
      <c r="C15" s="8" t="s">
        <v>73</v>
      </c>
      <c r="D15" s="8" t="s">
        <v>66</v>
      </c>
      <c r="E15" s="9" t="n">
        <v>95000</v>
      </c>
      <c r="F15" s="9"/>
      <c r="G15" s="9"/>
      <c r="H15" s="9"/>
      <c r="I15" s="9" t="n">
        <v>0</v>
      </c>
      <c r="J15" s="9" t="n">
        <v>95000</v>
      </c>
      <c r="K15" s="8" t="s">
        <v>74</v>
      </c>
      <c r="L15" s="8" t="s">
        <v>75</v>
      </c>
      <c r="M15" s="8" t="s">
        <v>76</v>
      </c>
      <c r="N15" s="8" t="s">
        <v>70</v>
      </c>
    </row>
    <row r="16" customFormat="false" ht="15" hidden="false" customHeight="false" outlineLevel="0" collapsed="false">
      <c r="A16" s="8" t="s">
        <v>77</v>
      </c>
      <c r="B16" s="8" t="s">
        <v>78</v>
      </c>
      <c r="C16" s="8" t="s">
        <v>79</v>
      </c>
      <c r="D16" s="8" t="s">
        <v>66</v>
      </c>
      <c r="E16" s="9" t="n">
        <v>120000</v>
      </c>
      <c r="F16" s="9"/>
      <c r="G16" s="9"/>
      <c r="H16" s="9"/>
      <c r="I16" s="9" t="n">
        <v>0</v>
      </c>
      <c r="J16" s="9" t="n">
        <v>120000</v>
      </c>
      <c r="K16" s="8" t="s">
        <v>80</v>
      </c>
      <c r="L16" s="8" t="s">
        <v>81</v>
      </c>
      <c r="M16" s="8" t="s">
        <v>82</v>
      </c>
      <c r="N16" s="8" t="s">
        <v>70</v>
      </c>
    </row>
    <row r="17" customFormat="false" ht="15" hidden="false" customHeight="false" outlineLevel="0" collapsed="false">
      <c r="A17" s="8" t="s">
        <v>83</v>
      </c>
      <c r="B17" s="8" t="s">
        <v>17</v>
      </c>
      <c r="C17" s="8" t="s">
        <v>84</v>
      </c>
      <c r="D17" s="8" t="s">
        <v>66</v>
      </c>
      <c r="E17" s="9" t="n">
        <v>800000</v>
      </c>
      <c r="F17" s="9"/>
      <c r="G17" s="9"/>
      <c r="H17" s="9"/>
      <c r="I17" s="9" t="n">
        <v>0</v>
      </c>
      <c r="J17" s="9" t="n">
        <v>800000</v>
      </c>
      <c r="K17" s="8" t="s">
        <v>85</v>
      </c>
      <c r="L17" s="8" t="s">
        <v>86</v>
      </c>
      <c r="M17" s="8" t="s">
        <v>22</v>
      </c>
      <c r="N17" s="8" t="s">
        <v>70</v>
      </c>
    </row>
    <row r="18" customFormat="false" ht="15" hidden="false" customHeight="false" outlineLevel="0" collapsed="false">
      <c r="A18" s="8" t="s">
        <v>87</v>
      </c>
      <c r="B18" s="8" t="s">
        <v>17</v>
      </c>
      <c r="C18" s="8" t="s">
        <v>88</v>
      </c>
      <c r="D18" s="8" t="s">
        <v>89</v>
      </c>
      <c r="E18" s="9" t="n">
        <v>1000000</v>
      </c>
      <c r="F18" s="9"/>
      <c r="G18" s="9"/>
      <c r="H18" s="9"/>
      <c r="I18" s="9" t="n">
        <v>0</v>
      </c>
      <c r="J18" s="9" t="n">
        <v>1000000</v>
      </c>
      <c r="K18" s="8" t="s">
        <v>90</v>
      </c>
      <c r="L18" s="8" t="s">
        <v>91</v>
      </c>
      <c r="M18" s="8" t="s">
        <v>92</v>
      </c>
      <c r="N18" s="8" t="s">
        <v>70</v>
      </c>
    </row>
    <row r="19" customFormat="false" ht="15" hidden="false" customHeight="false" outlineLevel="0" collapsed="false">
      <c r="A19" s="10" t="s">
        <v>93</v>
      </c>
      <c r="B19" s="10" t="s">
        <v>94</v>
      </c>
      <c r="C19" s="10" t="s">
        <v>95</v>
      </c>
      <c r="D19" s="10" t="s">
        <v>96</v>
      </c>
      <c r="E19" s="11" t="n">
        <v>240000</v>
      </c>
      <c r="F19" s="11" t="n">
        <v>27000</v>
      </c>
      <c r="G19" s="11" t="n">
        <v>27000</v>
      </c>
      <c r="H19" s="11" t="n">
        <v>29000</v>
      </c>
      <c r="I19" s="11" t="n">
        <v>83000</v>
      </c>
      <c r="J19" s="11" t="n">
        <v>157000</v>
      </c>
      <c r="K19" s="10" t="s">
        <v>46</v>
      </c>
      <c r="L19" s="10" t="s">
        <v>97</v>
      </c>
      <c r="M19" s="10" t="s">
        <v>98</v>
      </c>
      <c r="N19" s="10" t="s">
        <v>99</v>
      </c>
    </row>
    <row r="20" customFormat="false" ht="15" hidden="false" customHeight="false" outlineLevel="0" collapsed="false">
      <c r="A20" s="10" t="s">
        <v>100</v>
      </c>
      <c r="B20" s="10" t="s">
        <v>101</v>
      </c>
      <c r="C20" s="10" t="s">
        <v>102</v>
      </c>
      <c r="D20" s="10" t="s">
        <v>96</v>
      </c>
      <c r="E20" s="11" t="n">
        <v>396400</v>
      </c>
      <c r="F20" s="11" t="n">
        <v>70000</v>
      </c>
      <c r="G20" s="11"/>
      <c r="H20" s="11"/>
      <c r="I20" s="11" t="n">
        <v>70000</v>
      </c>
      <c r="J20" s="11" t="n">
        <v>326400</v>
      </c>
      <c r="K20" s="10" t="s">
        <v>46</v>
      </c>
      <c r="L20" s="10" t="s">
        <v>97</v>
      </c>
      <c r="M20" s="10" t="s">
        <v>103</v>
      </c>
      <c r="N20" s="10" t="s">
        <v>99</v>
      </c>
    </row>
    <row r="21" customFormat="false" ht="15" hidden="false" customHeight="false" outlineLevel="0" collapsed="false">
      <c r="A21" s="12" t="s">
        <v>104</v>
      </c>
      <c r="E21" s="13" t="n">
        <f aca="false">SUM(E5:E20)</f>
        <v>4400400</v>
      </c>
      <c r="F21" s="13" t="n">
        <f aca="false">SUM(F5:F20)</f>
        <v>871500</v>
      </c>
      <c r="G21" s="13" t="n">
        <f aca="false">SUM(G5:G20)</f>
        <v>315000</v>
      </c>
      <c r="H21" s="13" t="n">
        <f aca="false">SUM(H5:H20)</f>
        <v>29000</v>
      </c>
      <c r="I21" s="13" t="n">
        <f aca="false">SUM(I5:I20)</f>
        <v>1215500</v>
      </c>
      <c r="J21" s="13" t="n">
        <f aca="false">SUM(J5:J20)</f>
        <v>3184900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7" min="6" style="0" width="16"/>
  </cols>
  <sheetData>
    <row r="1" customFormat="false" ht="15" hidden="false" customHeight="false" outlineLevel="0" collapsed="false">
      <c r="A1" s="14" t="s">
        <v>105</v>
      </c>
      <c r="B1" s="14"/>
      <c r="C1" s="14"/>
      <c r="D1" s="14"/>
      <c r="E1" s="14"/>
      <c r="F1" s="14"/>
      <c r="G1" s="14"/>
    </row>
    <row r="3" customFormat="false" ht="15" hidden="false" customHeight="false" outlineLevel="0" collapsed="false">
      <c r="A3" s="15" t="s">
        <v>5</v>
      </c>
      <c r="B3" s="15" t="s">
        <v>4</v>
      </c>
      <c r="C3" s="15" t="s">
        <v>106</v>
      </c>
      <c r="D3" s="15" t="s">
        <v>107</v>
      </c>
      <c r="E3" s="15" t="s">
        <v>108</v>
      </c>
      <c r="F3" s="15" t="s">
        <v>109</v>
      </c>
      <c r="G3" s="15" t="s">
        <v>110</v>
      </c>
    </row>
    <row r="4" customFormat="false" ht="15" hidden="false" customHeight="false" outlineLevel="0" collapsed="false">
      <c r="A4" s="16" t="s">
        <v>19</v>
      </c>
      <c r="B4" s="16" t="s">
        <v>111</v>
      </c>
      <c r="C4" s="17" t="n">
        <v>1384800</v>
      </c>
      <c r="D4" s="17" t="n">
        <v>1062500</v>
      </c>
      <c r="E4" s="18" t="n">
        <v>0.767258809936453</v>
      </c>
      <c r="F4" s="17" t="n">
        <v>322300</v>
      </c>
      <c r="G4" s="16" t="s">
        <v>112</v>
      </c>
    </row>
    <row r="5" customFormat="false" ht="15" hidden="false" customHeight="false" outlineLevel="0" collapsed="false">
      <c r="A5" s="16" t="s">
        <v>66</v>
      </c>
      <c r="B5" s="16" t="s">
        <v>113</v>
      </c>
      <c r="C5" s="17" t="n">
        <v>1200000</v>
      </c>
      <c r="D5" s="17" t="n">
        <v>0</v>
      </c>
      <c r="E5" s="18" t="n">
        <v>0</v>
      </c>
      <c r="F5" s="17" t="n">
        <v>1200000</v>
      </c>
      <c r="G5" s="16" t="s">
        <v>114</v>
      </c>
    </row>
    <row r="6" customFormat="false" ht="15" hidden="false" customHeight="false" outlineLevel="0" collapsed="false">
      <c r="A6" s="16" t="s">
        <v>89</v>
      </c>
      <c r="B6" s="16" t="s">
        <v>115</v>
      </c>
      <c r="C6" s="17" t="n">
        <v>1000000</v>
      </c>
      <c r="D6" s="17" t="n">
        <v>0</v>
      </c>
      <c r="E6" s="18" t="n">
        <v>0</v>
      </c>
      <c r="F6" s="17" t="n">
        <v>1000000</v>
      </c>
      <c r="G6" s="16" t="s">
        <v>116</v>
      </c>
    </row>
    <row r="7" customFormat="false" ht="15" hidden="false" customHeight="false" outlineLevel="0" collapsed="false">
      <c r="A7" s="16" t="s">
        <v>96</v>
      </c>
      <c r="B7" s="16" t="s">
        <v>117</v>
      </c>
      <c r="C7" s="17" t="n">
        <v>636400</v>
      </c>
      <c r="D7" s="17" t="n">
        <v>153000</v>
      </c>
      <c r="E7" s="18" t="n">
        <v>0.240414833438089</v>
      </c>
      <c r="F7" s="17" t="n">
        <v>483400</v>
      </c>
      <c r="G7" s="16" t="s">
        <v>118</v>
      </c>
    </row>
    <row r="8" customFormat="false" ht="15" hidden="false" customHeight="false" outlineLevel="0" collapsed="false">
      <c r="A8" s="19" t="s">
        <v>119</v>
      </c>
      <c r="B8" s="19" t="s">
        <v>120</v>
      </c>
      <c r="C8" s="13" t="n">
        <v>4221200</v>
      </c>
      <c r="D8" s="13" t="n">
        <v>1215500</v>
      </c>
      <c r="E8" s="20" t="n">
        <v>0.287951293471051</v>
      </c>
      <c r="F8" s="13" t="n">
        <v>3005700</v>
      </c>
      <c r="G8" s="19" t="s">
        <v>118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2026-03-05T20:49:37Z</dcterms:created>
  <dc:creator>openpyxl</dc:creator>
  <dc:description/>
  <dc:language>en-US</dc:language>
  <cp:lastModifiedBy/>
  <dcterms:modified xsi:type="dcterms:W3CDTF">2026-03-05T20:49:37Z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